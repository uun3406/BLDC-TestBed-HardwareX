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eaa5498ac549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35fa01978c19401d"/>
    <x:sheet xmlns:r="http://schemas.openxmlformats.org/officeDocument/2006/relationships" name="Cost Summary" sheetId="2" r:id="R0f481607faf247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e57e5650814663" /><Relationship Type="http://schemas.openxmlformats.org/officeDocument/2006/relationships/theme" Target="/xl/theme/theme1.xml" Id="R897e8a93b38a4453" /><Relationship Type="http://schemas.openxmlformats.org/officeDocument/2006/relationships/sharedStrings" Target="/xl/sharedStrings.xml" Id="Rc14a13b5209e4820" /><Relationship Type="http://schemas.openxmlformats.org/officeDocument/2006/relationships/worksheet" Target="/xl/worksheets/sheet1.xml" Id="R35fa01978c19401d" /><Relationship Type="http://schemas.openxmlformats.org/officeDocument/2006/relationships/worksheet" Target="/xl/worksheets/sheet2.xml" Id="R0f481607faf247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2" hidden="0" customWidth="1"/>
    <x:col min="4" max="4" width="12" hidden="0" customWidth="1"/>
    <x:col min="5" max="5" width="12" hidden="0" customWidth="1"/>
    <x:col min="6" max="6" width="12" hidden="0" customWidth="1"/>
    <x:col min="7" max="7" width="28" hidden="0" customWidth="1"/>
    <x:col min="8" max="8" width="42" hidden="0" customWidth="1"/>
  </x:cols>
  <x:sheetData>
    <x:row r="1">
      <x:c r="A1" s="10" t="str">
        <x:v>ID</x:v>
      </x:c>
      <x:c r="B1" s="10" t="str">
        <x:v>Component</x:v>
      </x:c>
      <x:c r="C1" s="10" t="str">
        <x:v>Description</x:v>
      </x:c>
      <x:c r="D1" s="10" t="str">
        <x:v>Qty</x:v>
      </x:c>
      <x:c r="E1" s="10" t="str">
        <x:v>Cost_USD_min</x:v>
      </x:c>
      <x:c r="F1" s="10" t="str">
        <x:v>Cost_USD_max</x:v>
      </x:c>
      <x:c r="G1" s="10" t="str">
        <x:v>Notes</x:v>
      </x:c>
      <x:c r="H1" s="10" t="str">
        <x:v>Direct_URL</x:v>
      </x:c>
    </x:row>
    <x:row r="2">
      <x:c r="A2" s="11" t="str">
        <x:v>MTR-01</x:v>
      </x:c>
      <x:c r="B2" s="11" t="str">
        <x:v>1000 W BLDC mid-drive motor</x:v>
      </x:c>
      <x:c r="C2" s="11" t="str">
        <x:v>BM1418ZXF or equivalent</x:v>
      </x:c>
      <x:c r="D2" s="11" t="str">
        <x:v>1</x:v>
      </x:c>
      <x:c r="E2" s="14" t="str">
        <x:v>110</x:v>
      </x:c>
      <x:c r="F2" s="14" t="str">
        <x:v>130</x:v>
      </x:c>
      <x:c r="G2" s="11" t="str">
        <x:v>48/60 V BLDC mid-drive motor</x:v>
      </x:c>
      <x:c r="H2" s="11" t="str">
        <x:v>https://www.aliexpress.com/w/wholesale-mid-drive-motor.html</x:v>
      </x:c>
    </x:row>
    <x:row r="3">
      <x:c r="A3" s="11" t="str">
        <x:v>ESC-01</x:v>
      </x:c>
      <x:c r="B3" s="11" t="str">
        <x:v>Votol EM-50 controller with telemetry</x:v>
      </x:c>
      <x:c r="C3" s="11" t="str">
        <x:v>ESC with 9600 baud telemetry</x:v>
      </x:c>
      <x:c r="D3" s="11" t="str">
        <x:v>1</x:v>
      </x:c>
      <x:c r="E3" s="14" t="str">
        <x:v>40</x:v>
      </x:c>
      <x:c r="F3" s="14" t="str">
        <x:v>50</x:v>
      </x:c>
      <x:c r="G3" s="11" t="str">
        <x:v>Ensure telemetry is enabled</x:v>
      </x:c>
      <x:c r="H3" s="11" t="str">
        <x:v>https://www.aliexpress.com/w/wholesale-Votol-EM-50.html</x:v>
      </x:c>
    </x:row>
    <x:row r="4">
      <x:c r="A4" s="11" t="str">
        <x:v>MCU-01</x:v>
      </x:c>
      <x:c r="B4" s="11" t="str">
        <x:v>ESP32 DevKit C</x:v>
      </x:c>
      <x:c r="C4" s="11" t="str">
        <x:v>30-pin development board</x:v>
      </x:c>
      <x:c r="D4" s="11" t="str">
        <x:v>1</x:v>
      </x:c>
      <x:c r="E4" s="14" t="str">
        <x:v>4</x:v>
      </x:c>
      <x:c r="F4" s="14" t="str">
        <x:v>6</x:v>
      </x:c>
      <x:c r="G4" s="11" t="str">
        <x:v>Arduino-compatible</x:v>
      </x:c>
      <x:c r="H4" s="11" t="str">
        <x:v>https://www.amazon.it/dp/B0CT3BHJ4C</x:v>
      </x:c>
    </x:row>
    <x:row r="5">
      <x:c r="A5" s="11" t="str">
        <x:v>SNS-01</x:v>
      </x:c>
      <x:c r="B5" s="11" t="str">
        <x:v>20 kg single-point load cell</x:v>
      </x:c>
      <x:c r="C5" s="11" t="str">
        <x:v>Kitchen-scale type</x:v>
      </x:c>
      <x:c r="D5" s="11" t="str">
        <x:v>1</x:v>
      </x:c>
      <x:c r="E5" s="14" t="str">
        <x:v>2</x:v>
      </x:c>
      <x:c r="F5" s="14" t="str">
        <x:v>3</x:v>
      </x:c>
      <x:c r="G5" s="11" t="str">
        <x:v>Torque reaction measurement</x:v>
      </x:c>
      <x:c r="H5" s="11" t="str">
        <x:v>https://www.alibaba.com/product-detail/Load-Cell-1KG-5KG-10KG-20KG_1601088855762.html</x:v>
      </x:c>
    </x:row>
    <x:row r="6">
      <x:c r="A6" s="11" t="str">
        <x:v>SNS-02</x:v>
      </x:c>
      <x:c r="B6" s="11" t="str">
        <x:v>HX711 24-bit ADC module</x:v>
      </x:c>
      <x:c r="C6" s="11" t="str">
        <x:v>Load cell amplifier</x:v>
      </x:c>
      <x:c r="D6" s="11" t="str">
        <x:v>1</x:v>
      </x:c>
      <x:c r="E6" s="14" t="str">
        <x:v>1</x:v>
      </x:c>
      <x:c r="F6" s="14" t="str">
        <x:v>2</x:v>
      </x:c>
      <x:c r="G6" s="11" t="str">
        <x:v>Interfaces load cell to ESP32</x:v>
      </x:c>
      <x:c r="H6" s="11" t="str">
        <x:v>https://www.aliexpress.com/w/wholesale-hx711-load-cell-sensor.html</x:v>
      </x:c>
    </x:row>
    <x:row r="7">
      <x:c r="A7" s="11" t="str">
        <x:v>BRK-01</x:v>
      </x:c>
      <x:c r="B7" s="11" t="str">
        <x:v>Mechanical disc brake set</x:v>
      </x:c>
      <x:c r="C7" s="11" t="str">
        <x:v>Mountain-bike type brake</x:v>
      </x:c>
      <x:c r="D7" s="11" t="str">
        <x:v>1</x:v>
      </x:c>
      <x:c r="E7" s="14" t="str">
        <x:v>18</x:v>
      </x:c>
      <x:c r="F7" s="14" t="str">
        <x:v>25</x:v>
      </x:c>
      <x:c r="G7" s="11" t="str">
        <x:v>Manual load application</x:v>
      </x:c>
      <x:c r="H7" s="11" t="str">
        <x:v>https://www.amazon.sg/dp/B0BM4RKZMY</x:v>
      </x:c>
    </x:row>
    <x:row r="8">
      <x:c r="A8" s="11" t="str">
        <x:v>BRK-02</x:v>
      </x:c>
      <x:c r="B8" s="11" t="str">
        <x:v>160 mm brake disc</x:v>
      </x:c>
      <x:c r="C8" s="11" t="str">
        <x:v>6-bolt standard disc</x:v>
      </x:c>
      <x:c r="D8" s="11" t="str">
        <x:v>1</x:v>
      </x:c>
      <x:c r="E8" s="14" t="str">
        <x:v>12</x:v>
      </x:c>
      <x:c r="F8" s="14" t="str">
        <x:v>18</x:v>
      </x:c>
      <x:c r="G8" s="11" t="str">
        <x:v>Load shaft brake disc</x:v>
      </x:c>
      <x:c r="H8" s="11" t="str">
        <x:v>https://www.amazon.es/dp/B07WWT1QC3</x:v>
      </x:c>
    </x:row>
    <x:row r="9">
      <x:c r="A9" s="11" t="str">
        <x:v>MCH-01</x:v>
      </x:c>
      <x:c r="B9" s="11" t="str">
        <x:v>Steel shaft</x:v>
      </x:c>
      <x:c r="C9" s="11" t="str">
        <x:v>Diameter 20 mm x 300 mm</x:v>
      </x:c>
      <x:c r="D9" s="11" t="str">
        <x:v>1</x:v>
      </x:c>
      <x:c r="E9" s="14" t="str">
        <x:v>8</x:v>
      </x:c>
      <x:c r="F9" s="14" t="str">
        <x:v>12</x:v>
      </x:c>
      <x:c r="G9" s="11" t="str">
        <x:v>Mild steel shaft</x:v>
      </x:c>
      <x:c r="H9" s="11" t="str">
        <x:v>https://www.tokopedia.com/berkatjayasakti/as-20-mm-plat-strip-besi-as-silinder-pejal-diameter-20mm-panjang-1-meter</x:v>
      </x:c>
    </x:row>
    <x:row r="10">
      <x:c r="A10" s="11" t="str">
        <x:v>MCH-02</x:v>
      </x:c>
      <x:c r="B10" s="11" t="str">
        <x:v>Pillow block bearings</x:v>
      </x:c>
      <x:c r="C10" s="11" t="str">
        <x:v>UCP204</x:v>
      </x:c>
      <x:c r="D10" s="11" t="str">
        <x:v>2</x:v>
      </x:c>
      <x:c r="E10" s="14" t="str">
        <x:v>6</x:v>
      </x:c>
      <x:c r="F10" s="14" t="str">
        <x:v>8</x:v>
      </x:c>
      <x:c r="G10" s="11" t="str">
        <x:v>Load shaft supports</x:v>
      </x:c>
      <x:c r="H10" s="11" t="str">
        <x:v>https://www.kramp.com/shop-de/en/p/pillow-block-bearing-complete--UCP204GP</x:v>
      </x:c>
    </x:row>
    <x:row r="11">
      <x:c r="A11" s="11" t="str">
        <x:v>MCH-03</x:v>
      </x:c>
      <x:c r="B11" s="11" t="str">
        <x:v>Sprocket set</x:v>
      </x:c>
      <x:c r="C11" s="11" t="str">
        <x:v>14T/22T with chain</x:v>
      </x:c>
      <x:c r="D11" s="11" t="str">
        <x:v>1</x:v>
      </x:c>
      <x:c r="E11" s="14" t="str">
        <x:v>10</x:v>
      </x:c>
      <x:c r="F11" s="14" t="str">
        <x:v>15</x:v>
      </x:c>
      <x:c r="G11" s="11" t="str">
        <x:v>Bicycle chain transmission</x:v>
      </x:c>
      <x:c r="H11" s="11" t="str">
        <x:v>https://www.aliexpress.com/w/wholesale-bicycle-sprocket-set.html</x:v>
      </x:c>
    </x:row>
    <x:row r="12">
      <x:c r="A12" s="11" t="str">
        <x:v>PWR-01</x:v>
      </x:c>
      <x:c r="B12" s="11" t="str">
        <x:v>LiFePO4 battery pack</x:v>
      </x:c>
      <x:c r="C12" s="11" t="str">
        <x:v>64 V 100 Ah, 20S1P</x:v>
      </x:c>
      <x:c r="D12" s="11" t="str">
        <x:v>1</x:v>
      </x:c>
      <x:c r="E12" s="14" t="str">
        <x:v>200</x:v>
      </x:c>
      <x:c r="F12" s="14" t="str">
        <x:v>250</x:v>
      </x:c>
      <x:c r="G12" s="11" t="str">
        <x:v>Larger than needed for typical teaching labs</x:v>
      </x:c>
      <x:c r="H12" s="11" t="str">
        <x:v>https://www.optimumnano-china.com/lifepo4-battery/64v-100ah-lithium-battery-pack-long-life-for.html</x:v>
      </x:c>
    </x:row>
    <x:row r="13">
      <x:c r="A13" s="11" t="str">
        <x:v>FAB-01</x:v>
      </x:c>
      <x:c r="B13" s="11" t="str">
        <x:v>Steel tubing</x:v>
      </x:c>
      <x:c r="C13" s="11" t="str">
        <x:v>40 x 40 x 2 mm, 6 m</x:v>
      </x:c>
      <x:c r="D13" s="11" t="str">
        <x:v>1</x:v>
      </x:c>
      <x:c r="E13" s="14" t="str">
        <x:v>15</x:v>
      </x:c>
      <x:c r="F13" s="14" t="str">
        <x:v>25</x:v>
      </x:c>
      <x:c r="G13" s="11" t="str">
        <x:v>Frame fabrication</x:v>
      </x:c>
      <x:c r="H13" s="11" t="str">
        <x:v>https://www.tokopedia.com/rumahbesiwf/hollow-40x40-2mm-hollow-hitam-4x4-2-0mm-hollow-besi-biasa-6-meter</x:v>
      </x:c>
    </x:row>
    <x:row r="14">
      <x:c r="A14" s="11" t="str">
        <x:v>FAB-02</x:v>
      </x:c>
      <x:c r="B14" s="11" t="str">
        <x:v>Steel plate</x:v>
      </x:c>
      <x:c r="C14" s="11" t="str">
        <x:v>150 x 100 x 5 mm</x:v>
      </x:c>
      <x:c r="D14" s="11" t="str">
        <x:v>1</x:v>
      </x:c>
      <x:c r="E14" s="14" t="str">
        <x:v>3</x:v>
      </x:c>
      <x:c r="F14" s="14" t="str">
        <x:v>5</x:v>
      </x:c>
      <x:c r="G14" s="11" t="str">
        <x:v>Motor mounting plate</x:v>
      </x:c>
      <x:c r="H14" s="11" t="str">
        <x:v>https://www.tokopedia.com/cvn-steel/plat-besi-5mm-5-mm-x-50-cm-x-100-cm</x:v>
      </x:c>
    </x:row>
    <x:row r="15">
      <x:c r="A15" s="11" t="str">
        <x:v>HWD-01</x:v>
      </x:c>
      <x:c r="B15" s="11" t="str">
        <x:v>Fasteners</x:v>
      </x:c>
      <x:c r="C15" s="11" t="str">
        <x:v>Bolts, nuts, washers</x:v>
      </x:c>
      <x:c r="D15" s="11" t="str">
        <x:v>1</x:v>
      </x:c>
      <x:c r="E15" s="14" t="str">
        <x:v>8</x:v>
      </x:c>
      <x:c r="F15" s="14" t="str">
        <x:v>12</x:v>
      </x:c>
      <x:c r="G15" s="11" t="str">
        <x:v>M6 and M8 hardware</x:v>
      </x:c>
      <x:c r="H15" s="11" t="str">
        <x:v>https://www.tokopedia.com/rumahbaut/tag/baut-m6?page=1</x:v>
      </x:c>
    </x:row>
    <x:row r="16">
      <x:c r="A16" s="11" t="str">
        <x:v>WIR-01</x:v>
      </x:c>
      <x:c r="B16" s="11" t="str">
        <x:v>Wiring and connectors</x:v>
      </x:c>
      <x:c r="C16" s="11" t="str">
        <x:v>16 AWG wires, fuse holder, terminals</x:v>
      </x:c>
      <x:c r="D16" s="11" t="str">
        <x:v>1</x:v>
      </x:c>
      <x:c r="E16" s="14" t="str">
        <x:v>5</x:v>
      </x:c>
      <x:c r="F16" s="14" t="str">
        <x:v>10</x:v>
      </x:c>
      <x:c r="G16" s="11" t="str">
        <x:v>Power and signal wiring</x:v>
      </x:c>
      <x:c r="H16" s="11" t="str">
        <x:v>https://www.aliexpress.com/w/wholesale-16awg-wire.html</x:v>
      </x:c>
    </x:row>
    <x:row r="17">
      <x:c r="A17" s="11" t="str">
        <x:v>ENCL-01</x:v>
      </x:c>
      <x:c r="B17" s="11" t="str">
        <x:v>Project enclosure</x:v>
      </x:c>
      <x:c r="C17" s="11" t="str">
        <x:v>Electronics enclosure</x:v>
      </x:c>
      <x:c r="D17" s="11" t="str">
        <x:v>1</x:v>
      </x:c>
      <x:c r="E17" s="14" t="str">
        <x:v>5</x:v>
      </x:c>
      <x:c r="F17" s="14" t="str">
        <x:v>8</x:v>
      </x:c>
      <x:c r="G17" s="11" t="str">
        <x:v>ESP32/HX711 enclosure</x:v>
      </x:c>
      <x:c r="H17" s="11" t="str">
        <x:v>https://www.aliexpress.com/w/wholesale-project-enclosure.html</x:v>
      </x:c>
    </x:row>
    <x:row r="18">
      <x:c r="E18" s="15"/>
      <x:c r="F18" s="15"/>
    </x:row>
    <x:row r="19">
      <x:c r="E19" s="15"/>
      <x:c r="F19" s="15"/>
    </x:row>
    <x:row r="20">
      <x:c r="E20" s="15"/>
      <x:c r="F20" s="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4" t="str">
        <x:v>Metric</x:v>
      </x:c>
      <x:c r="B1" s="4" t="str">
        <x:v>Formula/Value</x:v>
      </x:c>
      <x:c r="C1" s="4" t="str">
        <x:v>Notes</x:v>
      </x:c>
    </x:row>
    <x:row r="2">
      <x:c r="A2" t="str">
        <x:v>Minimum cost</x:v>
      </x:c>
      <x:c r="B2" t="n">
        <x:f>SUM(BOM!E2:E17)</x:f>
        <x:v>0</x:v>
      </x:c>
      <x:c r="C2" t="str">
        <x:v>USD</x:v>
      </x:c>
    </x:row>
    <x:row r="3">
      <x:c r="A3" t="str">
        <x:v>Maximum cost</x:v>
      </x:c>
      <x:c r="B3" t="n">
        <x:f>SUM(BOM!F2:F17)</x:f>
        <x:v>0</x:v>
      </x:c>
      <x:c r="C3" t="str">
        <x:v>USD</x:v>
      </x:c>
    </x:row>
    <x:row r="4">
      <x:c r="A4" t="str">
        <x:v>Major cost drivers</x:v>
      </x:c>
      <x:c r="B4" t="str">
        <x:v>Motor, ESC, battery, mechanical frame</x:v>
      </x:c>
      <x:c r="C4" t="str">
        <x:v>See BOM sheet</x:v>
      </x:c>
    </x:row>
    <x:row r="5">
      <x:c r="A5" t="str">
        <x:v>License</x:v>
      </x:c>
      <x:c r="B5" t="str">
        <x:v>CERN-OHL-S-2.0</x:v>
      </x:c>
      <x:c r="C5" t="str">
        <x:v>Hardware design files</x:v>
      </x:c>
    </x:row>
  </x:sheetData>
  <x:pageMargins left="0.7" right="0.7" top="0.75" bottom="0.75" header="0.3" footer="0.3"/>
</x:worksheet>
</file>