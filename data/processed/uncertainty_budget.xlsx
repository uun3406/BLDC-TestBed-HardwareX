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a12a3df3c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certainty Budget" sheetId="1" r:id="Rc56d363e3271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a823cd2a144de" /><Relationship Type="http://schemas.openxmlformats.org/officeDocument/2006/relationships/theme" Target="/xl/theme/theme1.xml" Id="R9eec865963bd4698" /><Relationship Type="http://schemas.openxmlformats.org/officeDocument/2006/relationships/sharedStrings" Target="/xl/sharedStrings.xml" Id="R475289e719ae4d0d" /><Relationship Type="http://schemas.openxmlformats.org/officeDocument/2006/relationships/worksheet" Target="/xl/worksheets/sheet1.xml" Id="Rc56d363e327141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4" t="str">
        <x:v>Source</x:v>
      </x:c>
      <x:c r="B1" s="4" t="str">
        <x:v>Type</x:v>
      </x:c>
      <x:c r="C1" s="4" t="str">
        <x:v>Value</x:v>
      </x:c>
      <x:c r="D1" s="4" t="str">
        <x:v>Contribution_percent</x:v>
      </x:c>
    </x:row>
    <x:row r="2">
      <x:c r="A2" t="str">
        <x:v>Load cell linearity</x:v>
      </x:c>
      <x:c r="B2" t="str">
        <x:v>B</x:v>
      </x:c>
      <x:c r="C2" t="str">
        <x:v>±0.1% FS</x:v>
      </x:c>
      <x:c r="D2" s="8" t="n">
        <x:v>0.058</x:v>
      </x:c>
    </x:row>
    <x:row r="3">
      <x:c r="A3" t="str">
        <x:v>HX711 quantization</x:v>
      </x:c>
      <x:c r="B3" t="str">
        <x:v>B</x:v>
      </x:c>
      <x:c r="C3" t="str">
        <x:v>±0.01%</x:v>
      </x:c>
      <x:c r="D3" s="8" t="n">
        <x:v>0.006</x:v>
      </x:c>
    </x:row>
    <x:row r="4">
      <x:c r="A4" t="str">
        <x:v>Lever arm length</x:v>
      </x:c>
      <x:c r="B4" t="str">
        <x:v>B</x:v>
      </x:c>
      <x:c r="C4" t="str">
        <x:v>±0.1 mm (0.1%)</x:v>
      </x:c>
      <x:c r="D4" s="8" t="n">
        <x:v>0.058</x:v>
      </x:c>
    </x:row>
    <x:row r="5">
      <x:c r="A5" t="str">
        <x:v>Calibration factor</x:v>
      </x:c>
      <x:c r="B5" t="str">
        <x:v>B</x:v>
      </x:c>
      <x:c r="C5" t="str">
        <x:v>±0.15%</x:v>
      </x:c>
      <x:c r="D5" s="8" t="n">
        <x:v>0.087</x:v>
      </x:c>
    </x:row>
    <x:row r="6">
      <x:c r="A6" t="str">
        <x:v>Temperature drift</x:v>
      </x:c>
      <x:c r="B6" t="str">
        <x:v>B</x:v>
      </x:c>
      <x:c r="C6" t="str">
        <x:v>±0.05%/10°C</x:v>
      </x:c>
      <x:c r="D6" s="8" t="n">
        <x:v>0.029</x:v>
      </x:c>
    </x:row>
    <x:row r="7">
      <x:c r="A7" t="str">
        <x:v>Repeatability</x:v>
      </x:c>
      <x:c r="B7" t="str">
        <x:v>A</x:v>
      </x:c>
      <x:c r="C7" t="str">
        <x:v>±0.3% (n=10)</x:v>
      </x:c>
      <x:c r="D7" s="8" t="n">
        <x:v>0.173</x:v>
      </x:c>
    </x:row>
    <x:row r="8">
      <x:c r="A8" t="str">
        <x:v>Combined standard uncertainty</x:v>
      </x:c>
      <x:c r="B8" t="str"/>
      <x:c r="C8" t="n">
        <x:f>SQRT(SUM(D2:D7^2))</x:f>
        <x:v>0.21237466892263776</x:v>
      </x:c>
      <x:c r="D8" s="8" t="n">
        <x:v>0.214</x:v>
      </x:c>
    </x:row>
    <x:row r="9">
      <x:c r="A9" t="str">
        <x:v>Expanded uncertainty (k=2, 95%)</x:v>
      </x:c>
      <x:c r="B9" t="str"/>
      <x:c r="C9" t="n">
        <x:f>2*D8</x:f>
        <x:v>0.428</x:v>
      </x:c>
      <x:c r="D9" s="8" t="n">
        <x:v>0.428</x:v>
      </x:c>
    </x:row>
  </x:sheetData>
  <x:pageMargins left="0.7" right="0.7" top="0.75" bottom="0.75" header="0.3" footer="0.3"/>
</x:worksheet>
</file>